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/>
  </bookViews>
  <sheets>
    <sheet name="Extended Specials" sheetId="1" r:id="rId1"/>
    <sheet name="Read Me Fir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<sst xmlns="http://schemas.openxmlformats.org/spreadsheetml/2006/main" count="147" uniqueCount="116">
  <si>
    <t>Watched?</t>
  </si>
  <si>
    <t>Episode #(s) (Jpn)</t>
  </si>
  <si>
    <t>Length</t>
  </si>
  <si>
    <t>Title</t>
  </si>
  <si>
    <t>Notes / Arc</t>
  </si>
  <si>
    <t>Counts as Single-Ep Special?</t>
  </si>
  <si>
    <t>Hours (known runtime)</t>
  </si>
  <si>
    <t>11</t>
  </si>
  <si>
    <t>1 hr</t>
  </si>
  <si>
    <t>Moonlight Sonata Murder Case</t>
  </si>
  <si>
    <t>Piano teacher case</t>
  </si>
  <si>
    <t>52</t>
  </si>
  <si>
    <t>The Mist Goblin Legend Murder Case</t>
  </si>
  <si>
    <t>76</t>
  </si>
  <si>
    <t>Conan vs. Kaitou Kid</t>
  </si>
  <si>
    <t>First Kid appearance</t>
  </si>
  <si>
    <t>96</t>
  </si>
  <si>
    <t>2 hr</t>
  </si>
  <si>
    <t>The Cornered Great Detective! Two Consecutive Murder Cases</t>
  </si>
  <si>
    <t>118</t>
  </si>
  <si>
    <t>Osaka Double Mystery (Heiji introduction arc tie-in)</t>
  </si>
  <si>
    <t>Introduces Kazuha</t>
  </si>
  <si>
    <t>129</t>
  </si>
  <si>
    <t>The Black Organization's Woman From University (Haibara intro)</t>
  </si>
  <si>
    <t>Introduces Haibara Ai</t>
  </si>
  <si>
    <t>174</t>
  </si>
  <si>
    <t>The 20-Year-Old Murderous Intent: Symphony Serial Murder Case</t>
  </si>
  <si>
    <t>208</t>
  </si>
  <si>
    <t>The Entrance to the Labyrinth: The Wrath of the Great Colossus</t>
  </si>
  <si>
    <t>219</t>
  </si>
  <si>
    <t>Detectives Gathered! Shinichi Kudo vs. Kaitou Kid</t>
  </si>
  <si>
    <t>263</t>
  </si>
  <si>
    <t>The Osaka Double Mystery: Naniwa Swordsman and Toyotomi's Castle</t>
  </si>
  <si>
    <t>Conan vs Heiji East-West match</t>
  </si>
  <si>
    <t>304</t>
  </si>
  <si>
    <t>The Trembling Metropolitan Police HQ: 1.2 Million Hostages</t>
  </si>
  <si>
    <t>315</t>
  </si>
  <si>
    <t>Head-to-Head Battle with the Black Organization: Double Mystery on the Night of the Full Moon</t>
  </si>
  <si>
    <t>342</t>
  </si>
  <si>
    <t>The Bride of Huis Ten Bosch</t>
  </si>
  <si>
    <t>356</t>
  </si>
  <si>
    <t>Kaitou Kid's Miraculous Midair Walk</t>
  </si>
  <si>
    <t>387-389</t>
  </si>
  <si>
    <t>1.5 hr</t>
  </si>
  <si>
    <t>The Dissonance of the Stradivarius (3-part)</t>
  </si>
  <si>
    <t>Sometimes aired as extended block</t>
  </si>
  <si>
    <t>425-426</t>
  </si>
  <si>
    <t>Black Impact! The Moment the Organization's Hand Touches</t>
  </si>
  <si>
    <t>449</t>
  </si>
  <si>
    <t>Metropolitan Police Detective Love Story: Fake Wedding</t>
  </si>
  <si>
    <t>459-463</t>
  </si>
  <si>
    <t>2.5 hr</t>
  </si>
  <si>
    <t>The Moment the Black Organization Reaches Out</t>
  </si>
  <si>
    <t>5-part arc aired as special block</t>
  </si>
  <si>
    <t>479</t>
  </si>
  <si>
    <t>(Season 17 special)</t>
  </si>
  <si>
    <t>Black History-adjacent arc</t>
  </si>
  <si>
    <t>487</t>
  </si>
  <si>
    <t>488</t>
  </si>
  <si>
    <t>490</t>
  </si>
  <si>
    <t>515</t>
  </si>
  <si>
    <t>557</t>
  </si>
  <si>
    <t>(Season 18 special)</t>
  </si>
  <si>
    <t>734</t>
  </si>
  <si>
    <t>Black Organization development ep (Jodie/Amuro)</t>
  </si>
  <si>
    <t>916</t>
  </si>
  <si>
    <t>The 20th Year Murderous Symphony Serial Murder Case (remaster special)</t>
  </si>
  <si>
    <t>Remaster re-edit</t>
  </si>
  <si>
    <t>965-968</t>
  </si>
  <si>
    <t>4-part special</t>
  </si>
  <si>
    <t>Kaiju Gomera vs. Kamen Yaiba</t>
  </si>
  <si>
    <t>Yomiuri TV new HQ commemorative planning</t>
  </si>
  <si>
    <t>1000-1001</t>
  </si>
  <si>
    <t>2-part / 1 hr</t>
  </si>
  <si>
    <t>The Moonlight Sonata Murder (Remaster, Part 1 &amp; 2)</t>
  </si>
  <si>
    <t>1000th episode commemorative special</t>
  </si>
  <si>
    <t>1029</t>
  </si>
  <si>
    <t>special planning</t>
  </si>
  <si>
    <t>Police Academy Arc: Wild Police Story - Jinpei Matsuda</t>
  </si>
  <si>
    <t>1038</t>
  </si>
  <si>
    <t>Police Academy Arc: Wild Police Story - Wataru Date</t>
  </si>
  <si>
    <t>1042</t>
  </si>
  <si>
    <t>Police Academy Arc: Wild Police Story - Kenji Hagiwara</t>
  </si>
  <si>
    <t>1061</t>
  </si>
  <si>
    <t>Police Academy Arc: Wild Police Story - Hiromitsu Morofushi</t>
  </si>
  <si>
    <t>1133 (R133)</t>
  </si>
  <si>
    <t>Police Academy Arc: Wild Police Story - Rei Furuya</t>
  </si>
  <si>
    <t>1142-1143</t>
  </si>
  <si>
    <t>The Ranpo Mansion Murder Case (Part 1 &amp; 2)</t>
  </si>
  <si>
    <t>Edogawa Rampo 130th anniversary collab</t>
  </si>
  <si>
    <t>Summary (excludes multi-part blocks)</t>
  </si>
  <si>
    <t>Total single-episode specials:</t>
  </si>
  <si>
    <t>...with a confirmed runtime:</t>
  </si>
  <si>
    <t>Total runtime (hrs) of those:</t>
  </si>
  <si>
    <t>Multi-part blocks excluded from totals:</t>
  </si>
  <si>
    <t>Note: rows 30-34 (Wild Police Story eps) count as single-episode specials but have no confirmed runtime yet ("special planning"), so they're in the episode count but not the hours total. Multi-part blocks (e.g. 425-426, 965-968, 1000-1001) are just consecutive normal-length episodes aired together, so they're excluded entirely to avoid inflating the special count/runtime.</t>
  </si>
  <si>
    <t>IMPORTANT — please read before using this tracker</t>
  </si>
  <si>
    <t>This list was compiled from secondary/fan sources (Detective Conan World Wiki's</t>
  </si>
  <si>
    <t>'Anime Specials' page, Wikipedia's 'List of Case Closed episodes' 1hr/2hr footnotes,</t>
  </si>
  <si>
    <t>and fan rewatch guides), not an official single database.</t>
  </si>
  <si>
    <t>Detective Conan has run 1200+ episodes since 1996, and there is no single clean,</t>
  </si>
  <si>
    <t>universally-agreed master list of every extended special episode — even major fan</t>
  </si>
  <si>
    <t>wikis disagree on some entries, especially from ~2010 onward when standalone</t>
  </si>
  <si>
    <t>'1hr/2hr' specials became rarer (the show moved to a fixed Saturday half-hour slot</t>
  </si>
  <si>
    <t>in 2009) and many multi-part stories are just consecutive normal episodes rather</t>
  </si>
  <si>
    <t>than official aired specials.</t>
  </si>
  <si>
    <t>This sheet should be treated as a strong starting point, NOT a guaranteed-complete</t>
  </si>
  <si>
    <t>list. Please cross-check against the authoritative source before relying on it:</t>
  </si>
  <si>
    <t>https://www.detectiveconanworld.com/wiki/Anime_Specials</t>
  </si>
  <si>
    <t>and the episode-by-episode footnotes here:</t>
  </si>
  <si>
    <t>https://en.wikipedia.org/wiki/List_of_Case_Closed_episodes_(seasons_1-15)</t>
  </si>
  <si>
    <t>https://en.wikipedia.org/wiki/List_of_Case_Closed_episodes_(seasons_16-30)</t>
  </si>
  <si>
    <t>https://en.wikipedia.org/wiki/List_of_Case_Closed_episodes_(seasons_31-current)</t>
  </si>
  <si>
    <t>Numbering used: Japanese original air numbering (not the international/split</t>
  </si>
  <si>
    <t>Funimation numbering, which runs ahead since some specials get split into</t>
  </si>
  <si>
    <t>multiple 30-min-equivalent episodes for numbering purposes).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</si>
</sst>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8">
    <font>
      <sz val="11"/>
      <color theme="1"/>
      <name val="Calibri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/>
    <xf numFmtId="0" fontId="5" fillId="0" borderId="0" xfId="0" applyFont="1" applyAlignment="1"/>
    <xf numFmtId="0" fontId="4" fillId="0" borderId="0" xfId="0" applyFont="1" applyAlignment="1"/>
    <xf numFmtId="0" fontId="6" fillId="0" borderId="0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tabSelected="1" workbookViewId="0">
      <pane ySplit="1" topLeftCell="A23" activePane="bottomLeft" state="frozen"/>
      <selection/>
      <selection pane="bottomLeft" activeCell="A1" sqref="A1"/>
    </sheetView>
  </sheetViews>
  <sheetFormatPr defaultColWidth="8.67592592592593" defaultRowHeight="14.4" outlineLevelCol="6"/>
  <cols>
    <col min="1" max="1" width="10" style="1" customWidth="1"/>
    <col min="2" max="2" width="16" style="1" customWidth="1"/>
    <col min="3" max="3" width="12" style="1" customWidth="1"/>
    <col min="4" max="4" width="46" style="1" customWidth="1"/>
    <col min="5" max="5" width="34" style="1" customWidth="1"/>
    <col min="6" max="6" width="26" style="1" customWidth="1"/>
    <col min="7" max="7" width="20" style="1" customWidth="1"/>
  </cols>
  <sheetData>
    <row r="1" ht="26.25" customHeigh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15" customHeight="1" spans="1:7">
      <c r="A2" s="5"/>
      <c r="B2" s="6" t="s">
        <v>7</v>
      </c>
      <c r="C2" s="6" t="s">
        <v>8</v>
      </c>
      <c r="D2" s="6" t="s">
        <v>9</v>
      </c>
      <c r="E2" s="6" t="s">
        <v>10</v>
      </c>
      <c r="F2" s="6" t="str">
        <f t="shared" ref="F2:F35" si="0">IF(ISNUMBER(SEARCH("-",B2)),"No - multi-part block","Yes")</f>
        <v>Yes</v>
      </c>
      <c r="G2" s="6">
        <f t="shared" ref="G2:G35" si="1">IFERROR(IF(ISNUMBER(SEARCH("-",B2)),"",VALUE(SUBSTITUTE(C2," hr",""))),"")</f>
        <v>1</v>
      </c>
    </row>
    <row r="3" ht="15" customHeight="1" spans="1:7">
      <c r="A3" s="5"/>
      <c r="B3" s="6" t="s">
        <v>11</v>
      </c>
      <c r="C3" s="6" t="s">
        <v>8</v>
      </c>
      <c r="D3" s="6" t="s">
        <v>12</v>
      </c>
      <c r="E3" s="6"/>
      <c r="F3" s="6" t="str">
        <f t="shared" si="0"/>
        <v>Yes</v>
      </c>
      <c r="G3" s="6">
        <f t="shared" si="1"/>
        <v>1</v>
      </c>
    </row>
    <row r="4" ht="15" customHeight="1" spans="1:7">
      <c r="A4" s="5"/>
      <c r="B4" s="6" t="s">
        <v>13</v>
      </c>
      <c r="C4" s="6" t="s">
        <v>8</v>
      </c>
      <c r="D4" s="6" t="s">
        <v>14</v>
      </c>
      <c r="E4" s="6" t="s">
        <v>15</v>
      </c>
      <c r="F4" s="6" t="str">
        <f t="shared" si="0"/>
        <v>Yes</v>
      </c>
      <c r="G4" s="6">
        <f t="shared" si="1"/>
        <v>1</v>
      </c>
    </row>
    <row r="5" ht="23.25" customHeight="1" spans="1:7">
      <c r="A5" s="5"/>
      <c r="B5" s="6" t="s">
        <v>16</v>
      </c>
      <c r="C5" s="6" t="s">
        <v>17</v>
      </c>
      <c r="D5" s="6" t="s">
        <v>18</v>
      </c>
      <c r="E5" s="6"/>
      <c r="F5" s="6" t="str">
        <f t="shared" si="0"/>
        <v>Yes</v>
      </c>
      <c r="G5" s="6">
        <f t="shared" si="1"/>
        <v>2</v>
      </c>
    </row>
    <row r="6" ht="15" customHeight="1" spans="1:7">
      <c r="A6" s="5"/>
      <c r="B6" s="6" t="s">
        <v>19</v>
      </c>
      <c r="C6" s="6" t="s">
        <v>8</v>
      </c>
      <c r="D6" s="6" t="s">
        <v>20</v>
      </c>
      <c r="E6" s="6" t="s">
        <v>21</v>
      </c>
      <c r="F6" s="6" t="str">
        <f t="shared" si="0"/>
        <v>Yes</v>
      </c>
      <c r="G6" s="6">
        <f t="shared" si="1"/>
        <v>1</v>
      </c>
    </row>
    <row r="7" ht="23.25" customHeight="1" spans="1:7">
      <c r="A7" s="5"/>
      <c r="B7" s="6" t="s">
        <v>22</v>
      </c>
      <c r="C7" s="6" t="s">
        <v>17</v>
      </c>
      <c r="D7" s="6" t="s">
        <v>23</v>
      </c>
      <c r="E7" s="6" t="s">
        <v>24</v>
      </c>
      <c r="F7" s="6" t="str">
        <f t="shared" si="0"/>
        <v>Yes</v>
      </c>
      <c r="G7" s="6">
        <f t="shared" si="1"/>
        <v>2</v>
      </c>
    </row>
    <row r="8" ht="23.25" customHeight="1" spans="1:7">
      <c r="A8" s="5"/>
      <c r="B8" s="6" t="s">
        <v>25</v>
      </c>
      <c r="C8" s="6" t="s">
        <v>17</v>
      </c>
      <c r="D8" s="6" t="s">
        <v>26</v>
      </c>
      <c r="E8" s="6"/>
      <c r="F8" s="6" t="str">
        <f t="shared" si="0"/>
        <v>Yes</v>
      </c>
      <c r="G8" s="6">
        <f t="shared" si="1"/>
        <v>2</v>
      </c>
    </row>
    <row r="9" ht="23.25" customHeight="1" spans="1:7">
      <c r="A9" s="5"/>
      <c r="B9" s="6" t="s">
        <v>27</v>
      </c>
      <c r="C9" s="6" t="s">
        <v>8</v>
      </c>
      <c r="D9" s="6" t="s">
        <v>28</v>
      </c>
      <c r="E9" s="6"/>
      <c r="F9" s="6" t="str">
        <f t="shared" si="0"/>
        <v>Yes</v>
      </c>
      <c r="G9" s="6">
        <f t="shared" si="1"/>
        <v>1</v>
      </c>
    </row>
    <row r="10" ht="15" customHeight="1" spans="1:7">
      <c r="A10" s="5"/>
      <c r="B10" s="6" t="s">
        <v>29</v>
      </c>
      <c r="C10" s="6" t="s">
        <v>17</v>
      </c>
      <c r="D10" s="6" t="s">
        <v>30</v>
      </c>
      <c r="E10" s="6"/>
      <c r="F10" s="6" t="str">
        <f t="shared" si="0"/>
        <v>Yes</v>
      </c>
      <c r="G10" s="6">
        <f t="shared" si="1"/>
        <v>2</v>
      </c>
    </row>
    <row r="11" ht="23.25" customHeight="1" spans="1:7">
      <c r="A11" s="5"/>
      <c r="B11" s="6" t="s">
        <v>31</v>
      </c>
      <c r="C11" s="6" t="s">
        <v>17</v>
      </c>
      <c r="D11" s="6" t="s">
        <v>32</v>
      </c>
      <c r="E11" s="6" t="s">
        <v>33</v>
      </c>
      <c r="F11" s="6" t="str">
        <f t="shared" si="0"/>
        <v>Yes</v>
      </c>
      <c r="G11" s="6">
        <f t="shared" si="1"/>
        <v>2</v>
      </c>
    </row>
    <row r="12" ht="23.25" customHeight="1" spans="1:7">
      <c r="A12" s="5"/>
      <c r="B12" s="6" t="s">
        <v>34</v>
      </c>
      <c r="C12" s="6" t="s">
        <v>8</v>
      </c>
      <c r="D12" s="6" t="s">
        <v>35</v>
      </c>
      <c r="E12" s="6"/>
      <c r="F12" s="6" t="str">
        <f t="shared" si="0"/>
        <v>Yes</v>
      </c>
      <c r="G12" s="6">
        <f t="shared" si="1"/>
        <v>1</v>
      </c>
    </row>
    <row r="13" ht="23.25" customHeight="1" spans="1:7">
      <c r="A13" s="5"/>
      <c r="B13" s="6" t="s">
        <v>36</v>
      </c>
      <c r="C13" s="6" t="s">
        <v>17</v>
      </c>
      <c r="D13" s="6" t="s">
        <v>37</v>
      </c>
      <c r="E13" s="6"/>
      <c r="F13" s="6" t="str">
        <f t="shared" si="0"/>
        <v>Yes</v>
      </c>
      <c r="G13" s="6">
        <f t="shared" si="1"/>
        <v>2</v>
      </c>
    </row>
    <row r="14" ht="15" customHeight="1" spans="1:7">
      <c r="A14" s="5"/>
      <c r="B14" s="6" t="s">
        <v>38</v>
      </c>
      <c r="C14" s="6" t="s">
        <v>17</v>
      </c>
      <c r="D14" s="6" t="s">
        <v>39</v>
      </c>
      <c r="E14" s="6"/>
      <c r="F14" s="6" t="str">
        <f t="shared" si="0"/>
        <v>Yes</v>
      </c>
      <c r="G14" s="6">
        <f t="shared" si="1"/>
        <v>2</v>
      </c>
    </row>
    <row r="15" ht="15" customHeight="1" spans="1:7">
      <c r="A15" s="5"/>
      <c r="B15" s="6" t="s">
        <v>40</v>
      </c>
      <c r="C15" s="6" t="s">
        <v>8</v>
      </c>
      <c r="D15" s="6" t="s">
        <v>41</v>
      </c>
      <c r="E15" s="6"/>
      <c r="F15" s="6" t="str">
        <f t="shared" si="0"/>
        <v>Yes</v>
      </c>
      <c r="G15" s="6">
        <f t="shared" si="1"/>
        <v>1</v>
      </c>
    </row>
    <row r="16" ht="15" customHeight="1" spans="1:7">
      <c r="A16" s="5"/>
      <c r="B16" s="6" t="s">
        <v>42</v>
      </c>
      <c r="C16" s="6" t="s">
        <v>43</v>
      </c>
      <c r="D16" s="6" t="s">
        <v>44</v>
      </c>
      <c r="E16" s="6" t="s">
        <v>45</v>
      </c>
      <c r="F16" s="6" t="str">
        <f t="shared" si="0"/>
        <v>No - multi-part block</v>
      </c>
      <c r="G16" s="6" t="str">
        <f t="shared" si="1"/>
        <v/>
      </c>
    </row>
    <row r="17" ht="23.25" customHeight="1" spans="1:7">
      <c r="A17" s="5"/>
      <c r="B17" s="6" t="s">
        <v>46</v>
      </c>
      <c r="C17" s="6" t="s">
        <v>8</v>
      </c>
      <c r="D17" s="6" t="s">
        <v>47</v>
      </c>
      <c r="E17" s="6"/>
      <c r="F17" s="6" t="str">
        <f t="shared" si="0"/>
        <v>No - multi-part block</v>
      </c>
      <c r="G17" s="6" t="str">
        <f t="shared" si="1"/>
        <v/>
      </c>
    </row>
    <row r="18" ht="15" customHeight="1" spans="1:7">
      <c r="A18" s="5"/>
      <c r="B18" s="6" t="s">
        <v>48</v>
      </c>
      <c r="C18" s="6" t="s">
        <v>8</v>
      </c>
      <c r="D18" s="6" t="s">
        <v>49</v>
      </c>
      <c r="E18" s="6"/>
      <c r="F18" s="6" t="str">
        <f t="shared" si="0"/>
        <v>Yes</v>
      </c>
      <c r="G18" s="6">
        <f t="shared" si="1"/>
        <v>1</v>
      </c>
    </row>
    <row r="19" ht="15" customHeight="1" spans="1:7">
      <c r="A19" s="5"/>
      <c r="B19" s="6" t="s">
        <v>50</v>
      </c>
      <c r="C19" s="6" t="s">
        <v>51</v>
      </c>
      <c r="D19" s="6" t="s">
        <v>52</v>
      </c>
      <c r="E19" s="6" t="s">
        <v>53</v>
      </c>
      <c r="F19" s="6" t="str">
        <f t="shared" si="0"/>
        <v>No - multi-part block</v>
      </c>
      <c r="G19" s="6" t="str">
        <f t="shared" si="1"/>
        <v/>
      </c>
    </row>
    <row r="20" ht="15" customHeight="1" spans="1:7">
      <c r="A20" s="5"/>
      <c r="B20" s="6" t="s">
        <v>54</v>
      </c>
      <c r="C20" s="6" t="s">
        <v>17</v>
      </c>
      <c r="D20" s="6" t="s">
        <v>55</v>
      </c>
      <c r="E20" s="6" t="s">
        <v>56</v>
      </c>
      <c r="F20" s="6" t="str">
        <f t="shared" si="0"/>
        <v>Yes</v>
      </c>
      <c r="G20" s="6">
        <f t="shared" si="1"/>
        <v>2</v>
      </c>
    </row>
    <row r="21" ht="15" customHeight="1" spans="1:7">
      <c r="A21" s="5"/>
      <c r="B21" s="6" t="s">
        <v>57</v>
      </c>
      <c r="C21" s="6" t="s">
        <v>8</v>
      </c>
      <c r="D21" s="6" t="s">
        <v>55</v>
      </c>
      <c r="E21" s="6"/>
      <c r="F21" s="6" t="str">
        <f t="shared" si="0"/>
        <v>Yes</v>
      </c>
      <c r="G21" s="6">
        <f t="shared" si="1"/>
        <v>1</v>
      </c>
    </row>
    <row r="22" ht="15" customHeight="1" spans="1:7">
      <c r="A22" s="5"/>
      <c r="B22" s="6" t="s">
        <v>58</v>
      </c>
      <c r="C22" s="6" t="s">
        <v>8</v>
      </c>
      <c r="D22" s="6" t="s">
        <v>55</v>
      </c>
      <c r="E22" s="6"/>
      <c r="F22" s="6" t="str">
        <f t="shared" si="0"/>
        <v>Yes</v>
      </c>
      <c r="G22" s="6">
        <f t="shared" si="1"/>
        <v>1</v>
      </c>
    </row>
    <row r="23" ht="15" customHeight="1" spans="1:7">
      <c r="A23" s="5"/>
      <c r="B23" s="6" t="s">
        <v>59</v>
      </c>
      <c r="C23" s="6" t="s">
        <v>8</v>
      </c>
      <c r="D23" s="6" t="s">
        <v>55</v>
      </c>
      <c r="E23" s="6"/>
      <c r="F23" s="6" t="str">
        <f t="shared" si="0"/>
        <v>Yes</v>
      </c>
      <c r="G23" s="6">
        <f t="shared" si="1"/>
        <v>1</v>
      </c>
    </row>
    <row r="24" ht="15" customHeight="1" spans="1:7">
      <c r="A24" s="5"/>
      <c r="B24" s="6" t="s">
        <v>60</v>
      </c>
      <c r="C24" s="6" t="s">
        <v>8</v>
      </c>
      <c r="D24" s="6" t="s">
        <v>55</v>
      </c>
      <c r="E24" s="6"/>
      <c r="F24" s="6" t="str">
        <f t="shared" si="0"/>
        <v>Yes</v>
      </c>
      <c r="G24" s="6">
        <f t="shared" si="1"/>
        <v>1</v>
      </c>
    </row>
    <row r="25" ht="15" customHeight="1" spans="1:7">
      <c r="A25" s="5"/>
      <c r="B25" s="6" t="s">
        <v>61</v>
      </c>
      <c r="C25" s="6" t="s">
        <v>8</v>
      </c>
      <c r="D25" s="6" t="s">
        <v>62</v>
      </c>
      <c r="E25" s="6"/>
      <c r="F25" s="6" t="str">
        <f t="shared" si="0"/>
        <v>Yes</v>
      </c>
      <c r="G25" s="6">
        <f t="shared" si="1"/>
        <v>1</v>
      </c>
    </row>
    <row r="26" ht="15" customHeight="1" spans="1:7">
      <c r="A26" s="5"/>
      <c r="B26" s="6" t="s">
        <v>63</v>
      </c>
      <c r="C26" s="6" t="s">
        <v>8</v>
      </c>
      <c r="D26" s="6" t="s">
        <v>64</v>
      </c>
      <c r="E26" s="6"/>
      <c r="F26" s="6" t="str">
        <f t="shared" si="0"/>
        <v>Yes</v>
      </c>
      <c r="G26" s="6">
        <f t="shared" si="1"/>
        <v>1</v>
      </c>
    </row>
    <row r="27" ht="23.25" customHeight="1" spans="1:7">
      <c r="A27" s="5"/>
      <c r="B27" s="6" t="s">
        <v>65</v>
      </c>
      <c r="C27" s="6" t="s">
        <v>8</v>
      </c>
      <c r="D27" s="6" t="s">
        <v>66</v>
      </c>
      <c r="E27" s="6" t="s">
        <v>67</v>
      </c>
      <c r="F27" s="6" t="str">
        <f t="shared" si="0"/>
        <v>Yes</v>
      </c>
      <c r="G27" s="6">
        <f t="shared" si="1"/>
        <v>1</v>
      </c>
    </row>
    <row r="28" ht="23.25" customHeight="1" spans="1:7">
      <c r="A28" s="5"/>
      <c r="B28" s="6" t="s">
        <v>68</v>
      </c>
      <c r="C28" s="6" t="s">
        <v>69</v>
      </c>
      <c r="D28" s="6" t="s">
        <v>70</v>
      </c>
      <c r="E28" s="6" t="s">
        <v>71</v>
      </c>
      <c r="F28" s="6" t="str">
        <f t="shared" si="0"/>
        <v>No - multi-part block</v>
      </c>
      <c r="G28" s="6" t="str">
        <f t="shared" si="1"/>
        <v/>
      </c>
    </row>
    <row r="29" ht="15" customHeight="1" spans="1:7">
      <c r="A29" s="5"/>
      <c r="B29" s="6" t="s">
        <v>72</v>
      </c>
      <c r="C29" s="6" t="s">
        <v>73</v>
      </c>
      <c r="D29" s="6" t="s">
        <v>74</v>
      </c>
      <c r="E29" s="6" t="s">
        <v>75</v>
      </c>
      <c r="F29" s="6" t="str">
        <f t="shared" si="0"/>
        <v>No - multi-part block</v>
      </c>
      <c r="G29" s="6" t="str">
        <f t="shared" si="1"/>
        <v/>
      </c>
    </row>
    <row r="30" ht="23.25" customHeight="1" spans="1:7">
      <c r="A30" s="5"/>
      <c r="B30" s="6" t="s">
        <v>76</v>
      </c>
      <c r="C30" s="6" t="s">
        <v>77</v>
      </c>
      <c r="D30" s="6" t="s">
        <v>78</v>
      </c>
      <c r="E30" s="6"/>
      <c r="F30" s="6" t="str">
        <f t="shared" si="0"/>
        <v>Yes</v>
      </c>
      <c r="G30" s="6" t="str">
        <f t="shared" si="1"/>
        <v/>
      </c>
    </row>
    <row r="31" ht="23.25" customHeight="1" spans="1:7">
      <c r="A31" s="5"/>
      <c r="B31" s="6" t="s">
        <v>79</v>
      </c>
      <c r="C31" s="6" t="s">
        <v>77</v>
      </c>
      <c r="D31" s="6" t="s">
        <v>80</v>
      </c>
      <c r="E31" s="6"/>
      <c r="F31" s="6" t="str">
        <f t="shared" si="0"/>
        <v>Yes</v>
      </c>
      <c r="G31" s="6" t="str">
        <f t="shared" si="1"/>
        <v/>
      </c>
    </row>
    <row r="32" ht="23.25" customHeight="1" spans="1:7">
      <c r="A32" s="5"/>
      <c r="B32" s="6" t="s">
        <v>81</v>
      </c>
      <c r="C32" s="6" t="s">
        <v>77</v>
      </c>
      <c r="D32" s="6" t="s">
        <v>82</v>
      </c>
      <c r="E32" s="6"/>
      <c r="F32" s="6" t="str">
        <f t="shared" si="0"/>
        <v>Yes</v>
      </c>
      <c r="G32" s="6" t="str">
        <f t="shared" si="1"/>
        <v/>
      </c>
    </row>
    <row r="33" ht="23.25" customHeight="1" spans="1:7">
      <c r="A33" s="5"/>
      <c r="B33" s="6" t="s">
        <v>83</v>
      </c>
      <c r="C33" s="6" t="s">
        <v>77</v>
      </c>
      <c r="D33" s="6" t="s">
        <v>84</v>
      </c>
      <c r="E33" s="6"/>
      <c r="F33" s="6" t="str">
        <f t="shared" si="0"/>
        <v>Yes</v>
      </c>
      <c r="G33" s="6" t="str">
        <f t="shared" si="1"/>
        <v/>
      </c>
    </row>
    <row r="34" ht="23.25" customHeight="1" spans="1:7">
      <c r="A34" s="5"/>
      <c r="B34" s="6" t="s">
        <v>85</v>
      </c>
      <c r="C34" s="6" t="s">
        <v>77</v>
      </c>
      <c r="D34" s="6" t="s">
        <v>86</v>
      </c>
      <c r="E34" s="6"/>
      <c r="F34" s="6" t="str">
        <f t="shared" si="0"/>
        <v>Yes</v>
      </c>
      <c r="G34" s="6" t="str">
        <f t="shared" si="1"/>
        <v/>
      </c>
    </row>
    <row r="35" ht="23.25" customHeight="1" spans="1:7">
      <c r="A35" s="5"/>
      <c r="B35" s="6" t="s">
        <v>87</v>
      </c>
      <c r="C35" s="6" t="s">
        <v>73</v>
      </c>
      <c r="D35" s="6" t="s">
        <v>88</v>
      </c>
      <c r="E35" s="6" t="s">
        <v>89</v>
      </c>
      <c r="F35" s="6" t="str">
        <f t="shared" si="0"/>
        <v>No - multi-part block</v>
      </c>
      <c r="G35" s="6" t="str">
        <f t="shared" si="1"/>
        <v/>
      </c>
    </row>
    <row r="37" ht="15" customHeight="1" spans="1:7">
      <c r="A37" s="7" t="s">
        <v>90</v>
      </c>
    </row>
    <row r="38" ht="15" customHeight="1" spans="1:7">
      <c r="A38" s="8" t="s">
        <v>91</v>
      </c>
      <c r="B38" s="9">
        <f>COUNTIF(F2:F35,"Yes")</f>
        <v>28</v>
      </c>
    </row>
    <row r="39" ht="15" customHeight="1" spans="1:7">
      <c r="A39" s="8" t="s">
        <v>92</v>
      </c>
      <c r="B39" s="9">
        <f>SUMPRODUCT((F2:F35="Yes")*(ISNUMBER(G2:G35)))</f>
        <v>23</v>
      </c>
    </row>
    <row r="40" ht="15" customHeight="1" spans="1:7">
      <c r="A40" s="8" t="s">
        <v>93</v>
      </c>
      <c r="B40" s="9">
        <f>SUMIFS(G2:G35,F2:F35,"Yes")</f>
        <v>31</v>
      </c>
    </row>
    <row r="41" ht="15" customHeight="1" spans="1:7">
      <c r="A41" s="8" t="s">
        <v>94</v>
      </c>
      <c r="B41" s="9">
        <f>COUNTIF(F2:F35,"No - multi-part block")</f>
        <v>6</v>
      </c>
    </row>
    <row r="43" ht="60" customHeight="1" spans="1:7">
      <c r="A43" s="10" t="s">
        <v>95</v>
      </c>
      <c r="B43" s="10"/>
      <c r="C43" s="10"/>
      <c r="D43" s="10"/>
      <c r="E43" s="10"/>
    </row>
  </sheetData>
  <mergeCells count="1">
    <mergeCell ref="A43:E4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workbookViewId="0">
      <selection activeCell="A1" sqref="A1"/>
    </sheetView>
  </sheetViews>
  <sheetFormatPr defaultColWidth="8.67592592592593" defaultRowHeight="14.4"/>
  <cols>
    <col min="1" max="1" width="100" style="1" customWidth="1"/>
  </cols>
  <sheetData>
    <row r="1" ht="15" customHeight="1" spans="1:1">
      <c r="A1" s="2" t="s">
        <v>96</v>
      </c>
    </row>
    <row r="2" ht="15" customHeight="1" spans="1:1">
      <c r="A2" s="3"/>
    </row>
    <row r="3" ht="15" customHeight="1" spans="1:1">
      <c r="A3" s="3" t="s">
        <v>97</v>
      </c>
    </row>
    <row r="4" ht="15" customHeight="1" spans="1:1">
      <c r="A4" s="3" t="s">
        <v>98</v>
      </c>
    </row>
    <row r="5" ht="15" customHeight="1" spans="1:1">
      <c r="A5" s="3" t="s">
        <v>99</v>
      </c>
    </row>
    <row r="6" ht="15" customHeight="1" spans="1:1">
      <c r="A6" s="3"/>
    </row>
    <row r="7" ht="15" customHeight="1" spans="1:1">
      <c r="A7" s="3" t="s">
        <v>100</v>
      </c>
    </row>
    <row r="8" ht="15" customHeight="1" spans="1:1">
      <c r="A8" s="3" t="s">
        <v>101</v>
      </c>
    </row>
    <row r="9" ht="15" customHeight="1" spans="1:1">
      <c r="A9" s="3" t="s">
        <v>102</v>
      </c>
    </row>
    <row r="10" ht="15" customHeight="1" spans="1:1">
      <c r="A10" s="3" t="s">
        <v>103</v>
      </c>
    </row>
    <row r="11" ht="15" customHeight="1" spans="1:1">
      <c r="A11" s="3" t="s">
        <v>104</v>
      </c>
    </row>
    <row r="12" ht="15" customHeight="1" spans="1:1">
      <c r="A12" s="3" t="s">
        <v>105</v>
      </c>
    </row>
    <row r="13" ht="15" customHeight="1" spans="1:1">
      <c r="A13" s="3"/>
    </row>
    <row r="14" ht="15" customHeight="1" spans="1:1">
      <c r="A14" s="3" t="s">
        <v>106</v>
      </c>
    </row>
    <row r="15" ht="15" customHeight="1" spans="1:1">
      <c r="A15" s="3" t="s">
        <v>107</v>
      </c>
    </row>
    <row r="16" ht="15" customHeight="1" spans="1:1">
      <c r="A16" s="3" t="s">
        <v>108</v>
      </c>
    </row>
    <row r="17" ht="15" customHeight="1" spans="1:1">
      <c r="A17" s="3"/>
    </row>
    <row r="18" ht="15" customHeight="1" spans="1:1">
      <c r="A18" s="3" t="s">
        <v>109</v>
      </c>
    </row>
    <row r="19" ht="15" customHeight="1" spans="1:1">
      <c r="A19" s="3" t="s">
        <v>110</v>
      </c>
    </row>
    <row r="20" ht="15" customHeight="1" spans="1:1">
      <c r="A20" s="3" t="s">
        <v>111</v>
      </c>
    </row>
    <row r="21" ht="15" customHeight="1" spans="1:1">
      <c r="A21" s="3" t="s">
        <v>112</v>
      </c>
    </row>
    <row r="22" ht="15" customHeight="1" spans="1:1">
      <c r="A22" s="3"/>
    </row>
    <row r="23" ht="15" customHeight="1" spans="1:1">
      <c r="A23" s="3" t="s">
        <v>113</v>
      </c>
    </row>
    <row r="24" ht="15" customHeight="1" spans="1:1">
      <c r="A24" s="3" t="s">
        <v>114</v>
      </c>
    </row>
    <row r="25" ht="15" customHeight="1" spans="1:1">
      <c r="A25" s="3" t="s">
        <v>115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Extended Specials</vt:lpstr>
      <vt:lpstr>Read Me First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</cp:lastModifiedBy>
  <cp:revision>0</cp:revision>
  <dcterms:created xsi:type="dcterms:W3CDTF">2026-08-21T12:42:00Z</dcterms:created>
  <dcterms:modified xsi:type="dcterms:W3CDTF">2026-08-21T12:52:16Z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002B4A88703D45CAB440990C9BCC8400_12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